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anheiras (exemplo)" sheetId="1" state="visible" r:id="rId1"/>
    <sheet name="2 Beta (monte você)" sheetId="2" state="visible" r:id="rId2"/>
    <sheet name="3 Metas (monte você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B7280"/>
    </font>
    <font>
      <b val="1"/>
      <color rgb="00FFFFFF"/>
    </font>
    <font>
      <b val="1"/>
      <color rgb="002F8A5B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9F7"/>
      </patternFill>
    </fill>
    <fill>
      <patternFill patternType="solid">
        <fgColor rgb="00FFF3C4"/>
      </patternFill>
    </fill>
    <fill>
      <patternFill patternType="solid">
        <fgColor rgb="00D9F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Banheiras - exemplo resolvido</t>
        </is>
      </c>
    </row>
    <row r="2">
      <c r="A2" s="2" t="inlineStr">
        <is>
          <t>Dados → Solver: Objetivo $D$5 | Máx | Alterando $B$4:$C$4 | Restrição $D$7:$D$9 &lt;= $F$7:$F$9 | Não negativas | LP Simplex</t>
        </is>
      </c>
    </row>
    <row r="3">
      <c r="A3" s="3" t="inlineStr"/>
      <c r="B3" s="3" t="inlineStr">
        <is>
          <t>SpaAqua</t>
        </is>
      </c>
      <c r="C3" s="3" t="inlineStr">
        <is>
          <t>LuxoHidro</t>
        </is>
      </c>
      <c r="D3" s="3" t="inlineStr">
        <is>
          <t>Total</t>
        </is>
      </c>
    </row>
    <row r="4">
      <c r="A4" t="inlineStr">
        <is>
          <t>Quantidade</t>
        </is>
      </c>
      <c r="B4" s="4" t="n">
        <v>0</v>
      </c>
      <c r="C4" s="4" t="n">
        <v>0</v>
      </c>
    </row>
    <row r="5">
      <c r="A5" t="inlineStr">
        <is>
          <t>Lucro unitário</t>
        </is>
      </c>
      <c r="B5" t="n">
        <v>350</v>
      </c>
      <c r="C5" t="n">
        <v>300</v>
      </c>
      <c r="D5" s="5">
        <f>SUMPRODUCT($B$4:$C$4,B5:C5)</f>
        <v/>
      </c>
    </row>
    <row r="6">
      <c r="A6" s="3" t="inlineStr">
        <is>
          <t>Restrição</t>
        </is>
      </c>
      <c r="B6" s="3" t="inlineStr">
        <is>
          <t>SpaAqua</t>
        </is>
      </c>
      <c r="C6" s="3" t="inlineStr">
        <is>
          <t>LuxoHidro</t>
        </is>
      </c>
      <c r="D6" s="3" t="inlineStr">
        <is>
          <t>Usado</t>
        </is>
      </c>
      <c r="E6" s="3" t="inlineStr"/>
      <c r="F6" s="3" t="inlineStr">
        <is>
          <t>Disponível</t>
        </is>
      </c>
    </row>
    <row r="7">
      <c r="A7" t="inlineStr">
        <is>
          <t>Bombas</t>
        </is>
      </c>
      <c r="B7" t="n">
        <v>1</v>
      </c>
      <c r="C7" t="n">
        <v>1</v>
      </c>
      <c r="D7" s="6">
        <f>SUMPRODUCT($B$4:$C$4,B7:C7)</f>
        <v/>
      </c>
      <c r="E7" t="inlineStr">
        <is>
          <t>&lt;=</t>
        </is>
      </c>
      <c r="F7" t="n">
        <v>200</v>
      </c>
    </row>
    <row r="8">
      <c r="A8" t="inlineStr">
        <is>
          <t>Horas</t>
        </is>
      </c>
      <c r="B8" t="n">
        <v>9</v>
      </c>
      <c r="C8" t="n">
        <v>6</v>
      </c>
      <c r="D8" s="6">
        <f>SUMPRODUCT($B$4:$C$4,B8:C8)</f>
        <v/>
      </c>
      <c r="E8" t="inlineStr">
        <is>
          <t>&lt;=</t>
        </is>
      </c>
      <c r="F8" t="n">
        <v>1566</v>
      </c>
    </row>
    <row r="9">
      <c r="A9" t="inlineStr">
        <is>
          <t>Tubos (m)</t>
        </is>
      </c>
      <c r="B9" t="n">
        <v>12</v>
      </c>
      <c r="C9" t="n">
        <v>16</v>
      </c>
      <c r="D9" s="6">
        <f>SUMPRODUCT($B$4:$C$4,B9:C9)</f>
        <v/>
      </c>
      <c r="E9" t="inlineStr">
        <is>
          <t>&lt;=</t>
        </is>
      </c>
      <c r="F9" t="n">
        <v>2880</v>
      </c>
    </row>
    <row r="11">
      <c r="A11" s="7" t="inlineStr">
        <is>
          <t>Resposta esperada: S = 122, L = 78, Lucro = 66.100</t>
        </is>
      </c>
    </row>
    <row r="13">
      <c r="A13" s="8" t="inlineStr">
        <is>
          <t>Legenda:</t>
        </is>
      </c>
    </row>
    <row r="14">
      <c r="A14" s="4" t="inlineStr">
        <is>
          <t>variável (Solver altera)</t>
        </is>
      </c>
    </row>
    <row r="15">
      <c r="A15" s="5" t="inlineStr">
        <is>
          <t>função objetivo</t>
        </is>
      </c>
    </row>
    <row r="16">
      <c r="A16" s="6" t="inlineStr">
        <is>
          <t>lado esquerdo da restrição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Beta Ltda - monte o modelo</t>
        </is>
      </c>
    </row>
    <row r="2">
      <c r="A2" s="2" t="inlineStr">
        <is>
          <t>Preencha as fórmulas nas células coloridas e configure o Solver. Resposta: P1=280, P2=600, P3=120, L=1.380.000</t>
        </is>
      </c>
    </row>
    <row r="3">
      <c r="A3" s="3" t="inlineStr"/>
      <c r="B3" s="3" t="inlineStr">
        <is>
          <t>P1</t>
        </is>
      </c>
      <c r="C3" s="3" t="inlineStr">
        <is>
          <t>P2</t>
        </is>
      </c>
      <c r="D3" s="3" t="inlineStr">
        <is>
          <t>P3</t>
        </is>
      </c>
      <c r="E3" s="3" t="inlineStr">
        <is>
          <t>Total</t>
        </is>
      </c>
    </row>
    <row r="4">
      <c r="A4" t="inlineStr">
        <is>
          <t>Quantidade</t>
        </is>
      </c>
      <c r="B4" s="4" t="n"/>
      <c r="C4" s="4" t="n"/>
      <c r="D4" s="4" t="n"/>
    </row>
    <row r="5">
      <c r="A5" t="inlineStr">
        <is>
          <t>Lucro unitário</t>
        </is>
      </c>
      <c r="B5" t="n">
        <v>2100</v>
      </c>
      <c r="C5" t="n">
        <v>1200</v>
      </c>
      <c r="D5" t="n">
        <v>600</v>
      </c>
      <c r="E5" s="5" t="n"/>
    </row>
    <row r="6">
      <c r="A6" s="3" t="inlineStr">
        <is>
          <t>Restrição</t>
        </is>
      </c>
      <c r="B6" s="3" t="inlineStr">
        <is>
          <t>P1</t>
        </is>
      </c>
      <c r="C6" s="3" t="inlineStr">
        <is>
          <t>P2</t>
        </is>
      </c>
      <c r="D6" s="3" t="inlineStr">
        <is>
          <t>P3</t>
        </is>
      </c>
      <c r="E6" s="3" t="inlineStr">
        <is>
          <t>Usado</t>
        </is>
      </c>
      <c r="F6" s="3" t="inlineStr"/>
      <c r="G6" s="3" t="inlineStr">
        <is>
          <t>Disponível</t>
        </is>
      </c>
    </row>
    <row r="7">
      <c r="A7" t="inlineStr">
        <is>
          <t>Horas de trabalho</t>
        </is>
      </c>
      <c r="B7" t="n">
        <v>6</v>
      </c>
      <c r="C7" t="n">
        <v>4</v>
      </c>
      <c r="D7" t="n">
        <v>6</v>
      </c>
      <c r="E7" s="6" t="n"/>
      <c r="F7" t="inlineStr">
        <is>
          <t>&lt;=</t>
        </is>
      </c>
      <c r="G7" t="n">
        <v>4800</v>
      </c>
    </row>
    <row r="8">
      <c r="A8" t="inlineStr">
        <is>
          <t>Horas de máquina</t>
        </is>
      </c>
      <c r="B8" t="n">
        <v>12</v>
      </c>
      <c r="C8" t="n">
        <v>6</v>
      </c>
      <c r="D8" t="n">
        <v>2</v>
      </c>
      <c r="E8" s="6" t="n"/>
      <c r="F8" t="inlineStr">
        <is>
          <t>&lt;=</t>
        </is>
      </c>
      <c r="G8" t="n">
        <v>7200</v>
      </c>
    </row>
    <row r="10">
      <c r="A10" t="inlineStr">
        <is>
          <t>Demanda máxima</t>
        </is>
      </c>
      <c r="B10" t="n">
        <v>800</v>
      </c>
      <c r="C10" t="n">
        <v>600</v>
      </c>
      <c r="D10" t="n">
        <v>600</v>
      </c>
    </row>
    <row r="12">
      <c r="A12" t="inlineStr">
        <is>
          <t>Dica: a demanda entra como restrição $B$4:$D$4 &lt;= $B$10:$D$10</t>
        </is>
      </c>
    </row>
    <row r="14">
      <c r="A14" s="8" t="inlineStr">
        <is>
          <t>Legenda:</t>
        </is>
      </c>
    </row>
    <row r="15">
      <c r="A15" s="4" t="inlineStr">
        <is>
          <t>variável (Solver altera)</t>
        </is>
      </c>
    </row>
    <row r="16">
      <c r="A16" s="5" t="inlineStr">
        <is>
          <t>função objetivo</t>
        </is>
      </c>
    </row>
    <row r="17">
      <c r="A17" s="6" t="inlineStr">
        <is>
          <t>lado esquerdo da restrição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Programação por metas - Lustres e Abajures</t>
        </is>
      </c>
    </row>
    <row r="2">
      <c r="A2" s="2" t="inlineStr">
        <is>
          <t>Cada meta: resultado + d- - d+ = meta (restrição =). FO: Min d1+ + d2- + d2+ + d3-</t>
        </is>
      </c>
    </row>
    <row r="3">
      <c r="A3" s="3" t="inlineStr"/>
      <c r="B3" s="3" t="inlineStr">
        <is>
          <t>L</t>
        </is>
      </c>
      <c r="C3" s="3" t="inlineStr">
        <is>
          <t>A</t>
        </is>
      </c>
      <c r="D3" s="3" t="inlineStr">
        <is>
          <t>d1-</t>
        </is>
      </c>
      <c r="E3" s="3" t="inlineStr">
        <is>
          <t>d1+</t>
        </is>
      </c>
      <c r="F3" s="3" t="inlineStr">
        <is>
          <t>d2-</t>
        </is>
      </c>
      <c r="G3" s="3" t="inlineStr">
        <is>
          <t>d2+</t>
        </is>
      </c>
      <c r="H3" s="3" t="inlineStr">
        <is>
          <t>d3-</t>
        </is>
      </c>
      <c r="I3" s="3" t="inlineStr">
        <is>
          <t>d3+</t>
        </is>
      </c>
    </row>
    <row r="4">
      <c r="A4" t="inlineStr">
        <is>
          <t>Valores (Solver altera)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t="inlineStr">
        <is>
          <t>Peso na FO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</row>
    <row r="6">
      <c r="A6" t="inlineStr">
        <is>
          <t>FO (soma dos desvios ruins)</t>
        </is>
      </c>
      <c r="B6" s="5" t="n"/>
    </row>
    <row r="8">
      <c r="A8" s="3" t="inlineStr">
        <is>
          <t>Meta</t>
        </is>
      </c>
      <c r="B8" s="3" t="inlineStr">
        <is>
          <t>L</t>
        </is>
      </c>
      <c r="C8" s="3" t="inlineStr">
        <is>
          <t>A</t>
        </is>
      </c>
      <c r="D8" s="3" t="inlineStr">
        <is>
          <t>d-</t>
        </is>
      </c>
      <c r="E8" s="3" t="inlineStr">
        <is>
          <t>d+</t>
        </is>
      </c>
      <c r="F8" s="3" t="inlineStr">
        <is>
          <t>Resultado</t>
        </is>
      </c>
      <c r="G8" s="3" t="inlineStr"/>
      <c r="H8" s="3" t="inlineStr">
        <is>
          <t>Meta</t>
        </is>
      </c>
    </row>
    <row r="9">
      <c r="A9" t="inlineStr">
        <is>
          <t>Horas (evitar hora extra)</t>
        </is>
      </c>
      <c r="B9" t="n">
        <v>8.800000000000001</v>
      </c>
      <c r="C9" t="n">
        <v>4.4</v>
      </c>
      <c r="D9" t="n">
        <v>1</v>
      </c>
      <c r="E9" t="n">
        <v>-1</v>
      </c>
      <c r="F9" s="6" t="n"/>
      <c r="G9" t="inlineStr">
        <is>
          <t>=</t>
        </is>
      </c>
      <c r="H9" t="n">
        <v>220</v>
      </c>
    </row>
    <row r="10">
      <c r="A10" t="inlineStr">
        <is>
          <t>Matéria-prima (usar 160 kg)</t>
        </is>
      </c>
      <c r="B10" t="n">
        <v>5</v>
      </c>
      <c r="C10" t="n">
        <v>4</v>
      </c>
      <c r="D10" t="n">
        <v>1</v>
      </c>
      <c r="E10" t="n">
        <v>-1</v>
      </c>
      <c r="F10" s="6" t="n"/>
      <c r="G10" t="inlineStr">
        <is>
          <t>=</t>
        </is>
      </c>
      <c r="H10" t="n">
        <v>160</v>
      </c>
    </row>
    <row r="11">
      <c r="A11" t="inlineStr">
        <is>
          <t>Lucro (pelo menos 240)</t>
        </is>
      </c>
      <c r="B11" t="n">
        <v>5</v>
      </c>
      <c r="C11" t="n">
        <v>7.5</v>
      </c>
      <c r="D11" t="n">
        <v>1</v>
      </c>
      <c r="E11" t="n">
        <v>-1</v>
      </c>
      <c r="F11" s="6" t="n"/>
      <c r="G11" t="inlineStr">
        <is>
          <t>=</t>
        </is>
      </c>
      <c r="H11" t="n">
        <v>240</v>
      </c>
    </row>
    <row r="13">
      <c r="A13" t="inlineStr">
        <is>
          <t>Dica: F9 = B9*$B$4 + C9*$C$4 + D9*$D$4 + E9*$E$4 (ajuste as colunas dos desvios de cada meta)</t>
        </is>
      </c>
    </row>
    <row r="14">
      <c r="A14" s="7" t="inlineStr">
        <is>
          <t>Resposta do gabarito: L = 12, A = 25, FO = 0 (todas as metas cumpridas)</t>
        </is>
      </c>
    </row>
    <row r="16">
      <c r="A16" s="8" t="inlineStr">
        <is>
          <t>Legenda:</t>
        </is>
      </c>
    </row>
    <row r="17">
      <c r="A17" s="4" t="inlineStr">
        <is>
          <t>variável (Solver altera)</t>
        </is>
      </c>
    </row>
    <row r="18">
      <c r="A18" s="5" t="inlineStr">
        <is>
          <t>função objetivo</t>
        </is>
      </c>
    </row>
    <row r="19">
      <c r="A19" s="6" t="inlineStr">
        <is>
          <t>lado esquerdo da restrição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2026-09-24T20:26:22Z</dcterms:created>
  <dcterms:modified xsi:type="dcterms:W3CDTF">2026-09-24T20:26:22Z</dcterms:modified>
</cp:coreProperties>
</file>